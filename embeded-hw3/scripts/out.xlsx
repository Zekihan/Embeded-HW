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ing\Github\Embeded-HW\embeded-hw3\scripts\"/>
    </mc:Choice>
  </mc:AlternateContent>
  <xr:revisionPtr revIDLastSave="0" documentId="13_ncr:1_{928835D0-DF92-498C-8FEE-791BF5399449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G12" i="1"/>
  <c r="F12" i="1"/>
</calcChain>
</file>

<file path=xl/sharedStrings.xml><?xml version="1.0" encoding="utf-8"?>
<sst xmlns="http://schemas.openxmlformats.org/spreadsheetml/2006/main" count="8" uniqueCount="8">
  <si>
    <t>index</t>
  </si>
  <si>
    <t>mixed</t>
  </si>
  <si>
    <t>mixed optimized</t>
  </si>
  <si>
    <t>poly</t>
  </si>
  <si>
    <t>poly optimized</t>
  </si>
  <si>
    <t>horner</t>
  </si>
  <si>
    <t>horner optimized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</si>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</sst>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numFmt numFmtId="164" formatCode="0.000000"/>
      <alignment horizontal="center" vertical="bottom" textRotation="0" wrapText="0" indent="0" justifyLastLine="0" shrinkToFit="0" readingOrder="0"/>
    </dxf>
    <dxf>
      <numFmt numFmtId="164" formatCode="0.000000"/>
      <alignment horizontal="center" vertical="bottom" textRotation="0" wrapText="0" indent="0" justifyLastLine="0" shrinkToFit="0" readingOrder="0"/>
    </dxf>
    <dxf>
      <numFmt numFmtId="164" formatCode="0.000000"/>
      <alignment horizontal="center" vertical="bottom" textRotation="0" wrapText="0" indent="0" justifyLastLine="0" shrinkToFit="0" readingOrder="0"/>
    </dxf>
    <dxf>
      <numFmt numFmtId="164" formatCode="0.000000"/>
      <alignment horizontal="center" vertical="bottom" textRotation="0" wrapText="0" indent="0" justifyLastLine="0" shrinkToFit="0" readingOrder="0"/>
    </dxf>
    <dxf>
      <numFmt numFmtId="164" formatCode="0.000000"/>
      <alignment horizontal="center" vertical="bottom" textRotation="0" wrapText="0" indent="0" justifyLastLine="0" shrinkToFit="0" readingOrder="0"/>
    </dxf>
    <dxf>
      <numFmt numFmtId="164" formatCode="0.0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" totalsRowCount="1" totalsRowDxfId="0">
  <autoFilter ref="A1:G11" xr:uid="{00000000-0009-0000-0100-000001000000}"/>
  <tableColumns count="7">
    <tableColumn id="1" xr3:uid="{00000000-0010-0000-0000-000001000000}" name="index" totalsRowLabel="Total" dataDxfId="14" totalsRowDxfId="7"/>
    <tableColumn id="2" xr3:uid="{00000000-0010-0000-0000-000002000000}" name="mixed" totalsRowFunction="average" dataDxfId="13" totalsRowDxfId="6"/>
    <tableColumn id="3" xr3:uid="{00000000-0010-0000-0000-000003000000}" name="mixed optimized" totalsRowFunction="average" dataDxfId="12" totalsRowDxfId="5"/>
    <tableColumn id="4" xr3:uid="{00000000-0010-0000-0000-000004000000}" name="poly" totalsRowFunction="average" dataDxfId="11" totalsRowDxfId="4"/>
    <tableColumn id="5" xr3:uid="{00000000-0010-0000-0000-000005000000}" name="poly optimized" totalsRowFunction="average" dataDxfId="10" totalsRowDxfId="3"/>
    <tableColumn id="6" xr3:uid="{00000000-0010-0000-0000-000006000000}" name="horner" totalsRowFunction="average" dataDxfId="9" totalsRowDxfId="2"/>
    <tableColumn id="7" xr3:uid="{00000000-0010-0000-0000-000007000000}" name="horner optimized" totalsRowFunction="average" dataDxfId="8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8" sqref="I8"/>
    </sheetView>
  </sheetViews>
  <sheetFormatPr defaultRowHeight="15" x14ac:dyDescent="0.25"/>
  <cols>
    <col min="1" max="1" width="8.28515625" bestFit="1" customWidth="1"/>
    <col min="2" max="2" width="8.85546875" bestFit="1" customWidth="1"/>
    <col min="3" max="3" width="18.42578125" bestFit="1" customWidth="1"/>
    <col min="4" max="4" width="8.5703125" bestFit="1" customWidth="1"/>
    <col min="5" max="5" width="16.7109375" bestFit="1" customWidth="1"/>
    <col min="6" max="6" width="9.28515625" bestFit="1" customWidth="1"/>
    <col min="7" max="7" width="1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>
        <v>2.497042</v>
      </c>
      <c r="C2" s="2">
        <v>2.5157379999999998</v>
      </c>
      <c r="D2" s="2">
        <v>4.6827319999999997</v>
      </c>
      <c r="E2" s="2">
        <v>2.7236340000000001</v>
      </c>
      <c r="F2" s="2">
        <v>5.8567499999999999</v>
      </c>
      <c r="G2" s="2">
        <v>3.690169</v>
      </c>
    </row>
    <row r="3" spans="1:7" x14ac:dyDescent="0.25">
      <c r="A3" s="1">
        <v>2</v>
      </c>
      <c r="B3" s="2">
        <v>2.322899</v>
      </c>
      <c r="C3" s="2">
        <v>1.9748950000000001</v>
      </c>
      <c r="D3" s="2">
        <v>4.5696159999999999</v>
      </c>
      <c r="E3" s="2">
        <v>2.490272</v>
      </c>
      <c r="F3" s="2">
        <v>5.4249219999999996</v>
      </c>
      <c r="G3" s="2">
        <v>3.645753</v>
      </c>
    </row>
    <row r="4" spans="1:7" x14ac:dyDescent="0.25">
      <c r="A4" s="1">
        <v>3</v>
      </c>
      <c r="B4" s="2">
        <v>2.1916910000000001</v>
      </c>
      <c r="C4" s="2">
        <v>2.8091279999999998</v>
      </c>
      <c r="D4" s="2">
        <v>4.8729829999999996</v>
      </c>
      <c r="E4" s="2">
        <v>3.4437389999999999</v>
      </c>
      <c r="F4" s="2">
        <v>7.0872320000000002</v>
      </c>
      <c r="G4" s="2">
        <v>3.9298760000000001</v>
      </c>
    </row>
    <row r="5" spans="1:7" x14ac:dyDescent="0.25">
      <c r="A5" s="1">
        <v>4</v>
      </c>
      <c r="B5" s="2">
        <v>2.673349</v>
      </c>
      <c r="C5" s="2">
        <v>2.8845779999999999</v>
      </c>
      <c r="D5" s="2">
        <v>5.260402</v>
      </c>
      <c r="E5" s="2">
        <v>2.9197320000000002</v>
      </c>
      <c r="F5" s="2">
        <v>5.7884529999999996</v>
      </c>
      <c r="G5" s="2">
        <v>3.9298449999999998</v>
      </c>
    </row>
    <row r="6" spans="1:7" x14ac:dyDescent="0.25">
      <c r="A6" s="1">
        <v>5</v>
      </c>
      <c r="B6" s="2">
        <v>2.5776370000000002</v>
      </c>
      <c r="C6" s="2">
        <v>2.4633259999999999</v>
      </c>
      <c r="D6" s="2">
        <v>4.5923389999999999</v>
      </c>
      <c r="E6" s="2">
        <v>2.4363260000000002</v>
      </c>
      <c r="F6" s="2">
        <v>5.2781190000000002</v>
      </c>
      <c r="G6" s="2">
        <v>3.5745290000000001</v>
      </c>
    </row>
    <row r="7" spans="1:7" x14ac:dyDescent="0.25">
      <c r="A7" s="1">
        <v>6</v>
      </c>
      <c r="B7" s="2">
        <v>2.1702590000000002</v>
      </c>
      <c r="C7" s="2">
        <v>2.4013170000000001</v>
      </c>
      <c r="D7" s="2">
        <v>4.8649279999999999</v>
      </c>
      <c r="E7" s="2">
        <v>2.487025</v>
      </c>
      <c r="F7" s="2">
        <v>5.24315</v>
      </c>
      <c r="G7" s="2">
        <v>3.6179199999999998</v>
      </c>
    </row>
    <row r="8" spans="1:7" x14ac:dyDescent="0.25">
      <c r="A8" s="1">
        <v>7</v>
      </c>
      <c r="B8" s="2">
        <v>2.198299</v>
      </c>
      <c r="C8" s="2">
        <v>1.97112</v>
      </c>
      <c r="D8" s="2">
        <v>4.5504899999999999</v>
      </c>
      <c r="E8" s="2">
        <v>2.6325669999999999</v>
      </c>
      <c r="F8" s="2">
        <v>5.5875690000000002</v>
      </c>
      <c r="G8" s="2">
        <v>3.6511290000000001</v>
      </c>
    </row>
    <row r="9" spans="1:7" x14ac:dyDescent="0.25">
      <c r="A9" s="1">
        <v>8</v>
      </c>
      <c r="B9" s="2">
        <v>2.1972809999999998</v>
      </c>
      <c r="C9" s="2">
        <v>2.6447409999999998</v>
      </c>
      <c r="D9" s="2">
        <v>5.3205580000000001</v>
      </c>
      <c r="E9" s="2">
        <v>3.213225</v>
      </c>
      <c r="F9" s="2">
        <v>6.3478000000000003</v>
      </c>
      <c r="G9" s="2">
        <v>4.192272</v>
      </c>
    </row>
    <row r="10" spans="1:7" x14ac:dyDescent="0.25">
      <c r="A10" s="1">
        <v>9</v>
      </c>
      <c r="B10" s="2">
        <v>2.2095899999999999</v>
      </c>
      <c r="C10" s="2">
        <v>2.6717810000000002</v>
      </c>
      <c r="D10" s="2">
        <v>5.7770979999999996</v>
      </c>
      <c r="E10" s="2">
        <v>3.3026460000000002</v>
      </c>
      <c r="F10" s="2">
        <v>5.9912929999999998</v>
      </c>
      <c r="G10" s="2">
        <v>3.5737130000000001</v>
      </c>
    </row>
    <row r="11" spans="1:7" x14ac:dyDescent="0.25">
      <c r="A11" s="1">
        <v>10</v>
      </c>
      <c r="B11" s="2">
        <v>2.1599379999999999</v>
      </c>
      <c r="C11" s="2">
        <v>2.2046130000000002</v>
      </c>
      <c r="D11" s="2">
        <v>4.5343520000000002</v>
      </c>
      <c r="E11" s="2">
        <v>2.4462649999999999</v>
      </c>
      <c r="F11" s="2">
        <v>5.214359</v>
      </c>
      <c r="G11" s="2">
        <v>3.5513949999999999</v>
      </c>
    </row>
    <row r="12" spans="1:7" x14ac:dyDescent="0.25">
      <c r="A12" s="3" t="s">
        <v>7</v>
      </c>
      <c r="B12" s="4">
        <f>SUBTOTAL(101,Table1[mixed])</f>
        <v>2.3197985000000001</v>
      </c>
      <c r="C12" s="4">
        <f>SUBTOTAL(101,Table1[mixed optimized])</f>
        <v>2.4541237000000002</v>
      </c>
      <c r="D12" s="4">
        <f>SUBTOTAL(101,Table1[poly])</f>
        <v>4.9025498000000001</v>
      </c>
      <c r="E12" s="4">
        <f>SUBTOTAL(101,Table1[poly optimized])</f>
        <v>2.8095431</v>
      </c>
      <c r="F12" s="4">
        <f>SUBTOTAL(101,Table1[horner])</f>
        <v>5.7819647000000005</v>
      </c>
      <c r="G12" s="4">
        <f>SUBTOTAL(101,Table1[horner optimized])</f>
        <v>3.7356600999999996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Zekihan</cp:lastModifiedBy>
  <dcterms:created xsi:type="dcterms:W3CDTF">2020-06-23T07:36:35Z</dcterms:created>
  <dcterms:modified xsi:type="dcterms:W3CDTF">2020-06-23T07:41:44Z</dcterms:modified>
</cp:coreProperties>
</file>